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KPI_Analysis" sheetId="2" r:id="rId6"/>
    <sheet state="visible" name="Source_Data" sheetId="3" r:id="rId7"/>
    <sheet state="visible" name="Definitions" sheetId="4" r:id="rId8"/>
  </sheets>
  <definedNames/>
  <calcPr/>
</workbook>
</file>

<file path=xl/sharedStrings.xml><?xml version="1.0" encoding="utf-8"?>
<sst xmlns="http://schemas.openxmlformats.org/spreadsheetml/2006/main" count="84" uniqueCount="71">
  <si>
    <t>Period</t>
  </si>
  <si>
    <t>Year</t>
  </si>
  <si>
    <t>Quarter</t>
  </si>
  <si>
    <t>Active Buyers - Group</t>
  </si>
  <si>
    <t>Active Buyers - Poland</t>
  </si>
  <si>
    <t>GMV YoY</t>
  </si>
  <si>
    <t>Active Buyers - International</t>
  </si>
  <si>
    <t>GMV - Group</t>
  </si>
  <si>
    <t>Revenue YoY</t>
  </si>
  <si>
    <t>GMV - Poland</t>
  </si>
  <si>
    <t>GMV - International</t>
  </si>
  <si>
    <t>Adjusted EBITDA YoY</t>
  </si>
  <si>
    <t>Total Revenue</t>
  </si>
  <si>
    <t>Adjusted EBITDA - Group</t>
  </si>
  <si>
    <t>Active Buyers YoY</t>
  </si>
  <si>
    <t>Adjusted EBITDA - Poland</t>
  </si>
  <si>
    <t>GMV per Active Buyer YoY</t>
  </si>
  <si>
    <t>Adjusted EBITDA - International</t>
  </si>
  <si>
    <t>GMV per Active Buyer - Group</t>
  </si>
  <si>
    <t>Items Sold - Group</t>
  </si>
  <si>
    <t>Q1 2025</t>
  </si>
  <si>
    <t>Take Rate - Poland</t>
  </si>
  <si>
    <t>Q1 2024</t>
  </si>
  <si>
    <t>Q2 2024</t>
  </si>
  <si>
    <t>Q3 2024</t>
  </si>
  <si>
    <t>Q4 2024</t>
  </si>
  <si>
    <t>Q2 2025</t>
  </si>
  <si>
    <t>Q3 2025</t>
  </si>
  <si>
    <t>Q4 2025</t>
  </si>
  <si>
    <t>Q1 2026</t>
  </si>
  <si>
    <t>Q2 2026</t>
  </si>
  <si>
    <t>Metric</t>
  </si>
  <si>
    <t>Definition</t>
  </si>
  <si>
    <t>Unit</t>
  </si>
  <si>
    <t>Calculation / Notes</t>
  </si>
  <si>
    <t>GMV</t>
  </si>
  <si>
    <t>Total value of transactions on the marketplace.</t>
  </si>
  <si>
    <t>PLN million</t>
  </si>
  <si>
    <t>Reported GMV for the quarter. YoY = (Current quarter / Same quarter previous year - 1) × 100%.</t>
  </si>
  <si>
    <t>Revenue</t>
  </si>
  <si>
    <t>Total revenue generated by Allegro Group during the quarter.</t>
  </si>
  <si>
    <t>Reported quarterly revenue. YoY = (Current quarter / Same quarter previous year - 1) × 100%.</t>
  </si>
  <si>
    <t>Adjusted EBITDA</t>
  </si>
  <si>
    <t>Earnings before interest, taxes, depreciation and amortization, adjusted for selected items.</t>
  </si>
  <si>
    <t>Reported quarterly Adjusted EBITDA. YoY = (Current quarter / Same quarter previous year - 1) × 100%.</t>
  </si>
  <si>
    <t>Active Buyers</t>
  </si>
  <si>
    <t>Number of unique buyers who made at least one purchase during the last 12 months.</t>
  </si>
  <si>
    <t>Million buyers</t>
  </si>
  <si>
    <t>Reported Group active buyers (LTM). YoY = (Current quarter / Same quarter previous year - 1) × 100%.</t>
  </si>
  <si>
    <t>GMV per Active Buyer (LTM)</t>
  </si>
  <si>
    <t>Average Gross Merchandise Value per active buyer over the last 12 months.</t>
  </si>
  <si>
    <t>PLN per buyer</t>
  </si>
  <si>
    <t>Reported Group GMV per active buyer (LTM). YoY = (Current quarter / Same quarter previous year - 1) × 100%.</t>
  </si>
  <si>
    <t>Data Source</t>
  </si>
  <si>
    <t>Allegro Group — Official Investor Relations Reports</t>
  </si>
  <si>
    <t>Analysis Period</t>
  </si>
  <si>
    <t>Q1 2024 – Q2 2026 (Quarterly Data)</t>
  </si>
  <si>
    <t>Allegro Business Performance Dashboard</t>
  </si>
  <si>
    <t>Quarterly Performance Overview | Q1 2024 – Q2 2026</t>
  </si>
  <si>
    <t>GMV – Group (PLN m)</t>
  </si>
  <si>
    <t>Revenue ( PLN m )</t>
  </si>
  <si>
    <t>Adjusted EBITDA ( PLN m )</t>
  </si>
  <si>
    <t>Active Buyers - Group ( m )</t>
  </si>
  <si>
    <t>GMV / Active Buyer ( PLN, LTM )</t>
  </si>
  <si>
    <t>YoY</t>
  </si>
  <si>
    <t>KEY INSIGHTS - Q2 2026</t>
  </si>
  <si>
    <t>1. Stron GMV Growthg
GMV increased by 14.38% YoY in Q2 2026, indicating continued growth in marketplace transaction value.</t>
  </si>
  <si>
    <t>2. Revenue Growth Outpaced GMV
Revenue increased by 16.13% YoY in Q2 2026, outpacing GMV growth of 14.38%. This indicates improved revenue generation relative to transaction value.</t>
  </si>
  <si>
    <t>3. Positive Adjusted EBITDA Growth
Adjusted EBITDA increased by 11.54% YoY in Q2 2026. However, its growth was slower than revenue growth of 16.13%.</t>
  </si>
  <si>
    <t>4. Higher GMV per Active Buyer
Active buyers increased by 1.64% YoY, while GMV per active buyer (LTM) grew by 9.77%. This suggests that higher spending per buyer contributed to overall GMV growth.</t>
  </si>
  <si>
    <t>5. Overall Business Performance
In Q2 2026, Allegro demonstrated growth across GMV, revenue, and Adjusted EBITDA. Revenue growth outpaced GMV, while higher GMV per active buyer contributed to overall marketplace growth.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</si>
</sst>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sz val="18.0"/>
      <color rgb="FFFFFFFF"/>
      <name val="Arial"/>
      <scheme val="minor"/>
    </font>
    <font>
      <sz val="12.0"/>
      <color rgb="FF666666"/>
      <name val="Arial"/>
      <scheme val="minor"/>
    </font>
    <font/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b/>
      <sz val="13.0"/>
      <color rgb="FFFFFFFF"/>
      <name val="Arial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/>
    </xf>
    <xf borderId="1" fillId="0" fontId="3" numFmtId="10" xfId="0" applyBorder="1" applyFont="1" applyNumberFormat="1"/>
    <xf borderId="1" fillId="0" fontId="3" numFmtId="10" xfId="0" applyAlignment="1" applyBorder="1" applyFont="1" applyNumberFormat="1">
      <alignment horizontal="right"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0" fontId="10" numFmtId="0" xfId="0" applyBorder="1" applyFont="1"/>
    <xf borderId="2" fillId="3" fontId="1" numFmtId="0" xfId="0" applyAlignment="1" applyBorder="1" applyFill="1" applyFont="1">
      <alignment horizontal="center" readingOrder="0" shrinkToFit="0" wrapText="1"/>
    </xf>
    <xf borderId="4" fillId="3" fontId="11" numFmtId="164" xfId="0" applyAlignment="1" applyBorder="1" applyFill="1" applyFont="1" applyNumberFormat="1">
      <alignment horizontal="center"/>
    </xf>
    <xf borderId="5" fillId="0" fontId="10" numFmtId="0" xfId="0" applyBorder="1" applyFont="1"/>
    <xf borderId="4" fillId="3" fontId="11" numFmtId="165" xfId="0" applyAlignment="1" applyBorder="1" applyFill="1" applyFont="1" applyNumberFormat="1">
      <alignment horizontal="center"/>
    </xf>
    <xf borderId="4" fillId="0" fontId="10" numFmtId="0" xfId="0" applyBorder="1" applyFont="1"/>
    <xf borderId="6" fillId="3" fontId="11" numFmtId="0" xfId="0" applyAlignment="1" applyBorder="1" applyFill="1" applyFont="1">
      <alignment horizontal="center" readingOrder="0"/>
    </xf>
    <xf borderId="7" fillId="3" fontId="11" numFmtId="10" xfId="0" applyAlignment="1" applyBorder="1" applyFill="1" applyFont="1" applyNumberFormat="1">
      <alignment horizontal="center"/>
    </xf>
    <xf borderId="0" fillId="0" fontId="12" numFmtId="0" xfId="0" applyFont="1"/>
    <xf borderId="0" fillId="3" fontId="1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>
        <color theme="1"/>
      </font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GMV Trend ( PLN m 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Source_Data!$G$1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Source_Data!$A$2:$A$11</c:f>
            </c:strRef>
          </c:cat>
          <c:val>
            <c:numRef>
              <c:f>Source_Data!$G$2:$G$11</c:f>
              <c:numCache/>
            </c:numRef>
          </c:val>
          <c:smooth val="0"/>
        </c:ser>
        <c:axId val="2095857319"/>
        <c:axId val="1340683665"/>
      </c:lineChart>
      <c:catAx>
        <c:axId val="2095857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683665"/>
      </c:catAx>
      <c:valAx>
        <c:axId val="1340683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GMV -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857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і Adjusted Ebitda Trend ( PLN m 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Source_Data!$J$1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Source_Data!$A$2:$A$11</c:f>
            </c:strRef>
          </c:cat>
          <c:val>
            <c:numRef>
              <c:f>Source_Data!$J$2:$J$11</c:f>
              <c:numCache/>
            </c:numRef>
          </c:val>
          <c:smooth val="0"/>
        </c:ser>
        <c:ser>
          <c:idx val="1"/>
          <c:order val="1"/>
          <c:tx>
            <c:strRef>
              <c:f>Source_Data!$K$1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Source_Data!$A$2:$A$11</c:f>
            </c:strRef>
          </c:cat>
          <c:val>
            <c:numRef>
              <c:f>Source_Data!$K$2:$K$11</c:f>
              <c:numCache/>
            </c:numRef>
          </c:val>
          <c:smooth val="0"/>
        </c:ser>
        <c:axId val="1841962202"/>
        <c:axId val="754269537"/>
      </c:lineChart>
      <c:catAx>
        <c:axId val="1841962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269537"/>
      </c:catAx>
      <c:valAx>
        <c:axId val="754269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962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Buyers vs GMV per Active Buyer (LTM)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Source_Data!$D$1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Source_Data!$A$2:$A$11</c:f>
            </c:strRef>
          </c:cat>
          <c:val>
            <c:numRef>
              <c:f>Source_Data!$D$2:$D$11</c:f>
              <c:numCache/>
            </c:numRef>
          </c:val>
        </c:ser>
        <c:axId val="800228055"/>
        <c:axId val="2510505"/>
      </c:barChart>
      <c:catAx>
        <c:axId val="800228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0505"/>
      </c:catAx>
      <c:valAx>
        <c:axId val="2510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228055"/>
      </c:valAx>
      <c:lineChart>
        <c:varyColors val="0"/>
        <c:ser>
          <c:idx val="1"/>
          <c:order val="1"/>
          <c:tx>
            <c:strRef>
              <c:f>Source_Data!$N$1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Source_Data!$A$2:$A$11</c:f>
            </c:strRef>
          </c:cat>
          <c:val>
            <c:numRef>
              <c:f>Source_Data!$N$2:$N$11</c:f>
              <c:numCache/>
            </c:numRef>
          </c:val>
          <c:smooth val="0"/>
        </c:ser>
        <c:axId val="1503839284"/>
        <c:axId val="32030896"/>
      </c:lineChart>
      <c:catAx>
        <c:axId val="15038392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30896"/>
      </c:catAx>
      <c:valAx>
        <c:axId val="320308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8392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Adjusted EBITDA by Segment (PLN 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Source_Data!$L$1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Source_Data!$A$2:$A$11</c:f>
            </c:strRef>
          </c:cat>
          <c:val>
            <c:numRef>
              <c:f>Source_Data!$L$2:$L$11</c:f>
              <c:numCache/>
            </c:numRef>
          </c:val>
        </c:ser>
        <c:ser>
          <c:idx val="1"/>
          <c:order val="1"/>
          <c:tx>
            <c:strRef>
              <c:f>Source_Data!$M$1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Source_Data!$A$2:$A$11</c:f>
            </c:strRef>
          </c:cat>
          <c:val>
            <c:numRef>
              <c:f>Source_Data!$M$2:$M$11</c:f>
              <c:numCache/>
            </c:numRef>
          </c:val>
        </c:ser>
        <c:axId val="2111485186"/>
        <c:axId val="1923743446"/>
      </c:barChart>
      <c:catAx>
        <c:axId val="2111485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743446"/>
      </c:catAx>
      <c:valAx>
        <c:axId val="1923743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485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4781550" cy="2628900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933450</xdr:colOff>
      <xdr:row>8</xdr:row>
      <xdr:rowOff>180975</xdr:rowOff>
    </xdr:from>
    <xdr:ext cx="4848225" cy="2628900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9525</xdr:rowOff>
    </xdr:from>
    <xdr:ext cx="4781550" cy="3371850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933450</xdr:colOff>
      <xdr:row>22</xdr:row>
      <xdr:rowOff>9525</xdr:rowOff>
    </xdr:from>
    <xdr:ext cx="4848225" cy="3371850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3" t="s">
        <v>57</v>
      </c>
    </row>
    <row r="3">
      <c r="A3" s="14" t="s">
        <v>58</v>
      </c>
    </row>
    <row r="5">
      <c r="A5" s="15" t="s">
        <v>59</v>
      </c>
      <c r="B5" s="16"/>
      <c r="C5" s="15" t="s">
        <v>60</v>
      </c>
      <c r="D5" s="16"/>
      <c r="E5" s="15" t="s">
        <v>61</v>
      </c>
      <c r="F5" s="16"/>
      <c r="G5" s="15" t="s">
        <v>62</v>
      </c>
      <c r="H5" s="16"/>
      <c r="I5" s="17" t="s">
        <v>63</v>
      </c>
      <c r="J5" s="16"/>
    </row>
    <row r="6">
      <c r="A6" s="18">
        <f>Source_Data!G11</f>
        <v>19571.763</v>
      </c>
      <c r="B6" s="19"/>
      <c r="C6" s="18">
        <f>Source_Data!J11</f>
        <v>3339.458</v>
      </c>
      <c r="D6" s="19"/>
      <c r="E6" s="18">
        <f>Source_Data!K11</f>
        <v>1030.14</v>
      </c>
      <c r="F6" s="19"/>
      <c r="G6" s="20">
        <f>Source_Data!D11</f>
        <v>20.858239</v>
      </c>
      <c r="H6" s="19"/>
      <c r="I6" s="18">
        <f>Source_Data!N11</f>
        <v>3528.194</v>
      </c>
      <c r="J6" s="19"/>
    </row>
    <row r="7">
      <c r="A7" s="21"/>
      <c r="B7" s="19"/>
      <c r="C7" s="21"/>
      <c r="D7" s="19"/>
      <c r="E7" s="21"/>
      <c r="F7" s="19"/>
      <c r="G7" s="21"/>
      <c r="H7" s="19"/>
      <c r="I7" s="21"/>
      <c r="J7" s="19"/>
    </row>
    <row r="8">
      <c r="A8" s="22" t="s">
        <v>64</v>
      </c>
      <c r="B8" s="23">
        <f>KPI_Analysis!B7</f>
        <v>0.1438138976</v>
      </c>
      <c r="C8" s="22" t="s">
        <v>64</v>
      </c>
      <c r="D8" s="23">
        <f>KPI_Analysis!C7</f>
        <v>0.1612698843</v>
      </c>
      <c r="E8" s="22" t="s">
        <v>64</v>
      </c>
      <c r="F8" s="23">
        <f>KPI_Analysis!D7</f>
        <v>0.1153771195</v>
      </c>
      <c r="G8" s="22" t="s">
        <v>64</v>
      </c>
      <c r="H8" s="23">
        <f>KPI_Analysis!E7</f>
        <v>0.01635138516</v>
      </c>
      <c r="I8" s="22" t="s">
        <v>64</v>
      </c>
      <c r="J8" s="23">
        <f>KPI_Analysis!F7</f>
        <v>0.09769372544</v>
      </c>
    </row>
    <row r="9">
      <c r="C9" s="24"/>
      <c r="D9" s="24"/>
    </row>
    <row r="40" ht="30.0" customHeight="1">
      <c r="A40" s="25" t="s">
        <v>65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2">
      <c r="A42" s="27" t="s">
        <v>66</v>
      </c>
    </row>
    <row r="46">
      <c r="A46" s="28" t="s">
        <v>67</v>
      </c>
    </row>
    <row r="50">
      <c r="A50" s="29" t="s">
        <v>68</v>
      </c>
    </row>
    <row r="54">
      <c r="A54" s="29" t="s">
        <v>69</v>
      </c>
    </row>
    <row r="58">
      <c r="A58" s="28" t="s">
        <v>70</v>
      </c>
    </row>
  </sheetData>
  <mergeCells count="18">
    <mergeCell ref="A1:J2"/>
    <mergeCell ref="A3:J3"/>
    <mergeCell ref="A5:B5"/>
    <mergeCell ref="C5:D5"/>
    <mergeCell ref="E5:F5"/>
    <mergeCell ref="G5:H5"/>
    <mergeCell ref="I5:J5"/>
    <mergeCell ref="A6:B7"/>
    <mergeCell ref="C6:D7"/>
    <mergeCell ref="E6:F7"/>
    <mergeCell ref="G6:H7"/>
    <mergeCell ref="I6:J7"/>
    <mergeCell ref="A42:J44"/>
    <mergeCell ref="A40:J40"/>
    <mergeCell ref="A46:J48"/>
    <mergeCell ref="A50:J52"/>
    <mergeCell ref="A54:J56"/>
    <mergeCell ref="A58:J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7.63"/>
    <col customWidth="1" min="6" max="6" width="23.38"/>
  </cols>
  <sheetData>
    <row r="1">
      <c r="A1" s="2" t="s">
        <v>0</v>
      </c>
      <c r="B1" s="2" t="s">
        <v>5</v>
      </c>
      <c r="C1" s="2" t="s">
        <v>8</v>
      </c>
      <c r="D1" s="2" t="s">
        <v>11</v>
      </c>
      <c r="E1" s="2" t="s">
        <v>14</v>
      </c>
      <c r="F1" s="2" t="s">
        <v>16</v>
      </c>
    </row>
    <row r="2">
      <c r="A2" s="3" t="s">
        <v>20</v>
      </c>
      <c r="B2" s="6">
        <f>Source_Data!G6/Source_Data!G2-1</f>
        <v>0.0817150946</v>
      </c>
      <c r="C2" s="6">
        <f>Source_Data!J6/Source_Data!J2-1</f>
        <v>0.06829740868</v>
      </c>
      <c r="D2" s="6">
        <f>Source_Data!K6/Source_Data!K2-1</f>
        <v>0.05563908932</v>
      </c>
      <c r="E2" s="6">
        <f>Source_Data!D6/Source_Data!D2-1</f>
        <v>0.05890534149</v>
      </c>
      <c r="F2" s="6">
        <f>Source_Data!N6/Source_Data!N2-1</f>
        <v>0.03512099921</v>
      </c>
    </row>
    <row r="3">
      <c r="A3" s="3" t="s">
        <v>26</v>
      </c>
      <c r="B3" s="6">
        <f>Source_Data!G7/Source_Data!G3-1</f>
        <v>0.09161855353</v>
      </c>
      <c r="C3" s="6">
        <f>Source_Data!J7/Source_Data!J3-1</f>
        <v>0.1080194671</v>
      </c>
      <c r="D3" s="6">
        <f>Source_Data!K7/Source_Data!K3-1</f>
        <v>0.1975400366</v>
      </c>
      <c r="E3" s="6">
        <f>Source_Data!D7/Source_Data!D3-1</f>
        <v>0.04586708857</v>
      </c>
      <c r="F3" s="6">
        <f>Source_Data!N7/Source_Data!N3-1</f>
        <v>0.04289303801</v>
      </c>
    </row>
    <row r="4">
      <c r="A4" s="3" t="s">
        <v>27</v>
      </c>
      <c r="B4" s="6">
        <f>Source_Data!G8/Source_Data!G4-1</f>
        <v>0.09896146954</v>
      </c>
      <c r="C4" s="6">
        <f>Source_Data!J8/Source_Data!J4-1</f>
        <v>0.1292086574</v>
      </c>
      <c r="D4" s="6">
        <f>Source_Data!K8/Source_Data!K4-1</f>
        <v>0.2368119096</v>
      </c>
      <c r="E4" s="6">
        <f>Source_Data!D8/Source_Data!D4-1</f>
        <v>0.03409785301</v>
      </c>
      <c r="F4" s="6">
        <f>Source_Data!N8/Source_Data!N4-1</f>
        <v>0.05433373595</v>
      </c>
    </row>
    <row r="5">
      <c r="A5" s="3" t="s">
        <v>28</v>
      </c>
      <c r="B5" s="6">
        <f>Source_Data!G9/Source_Data!G5-1</f>
        <v>0.09245566147</v>
      </c>
      <c r="C5" s="6">
        <f>Source_Data!J9/Source_Data!J5-1</f>
        <v>0.1406176533</v>
      </c>
      <c r="D5" s="6">
        <f>Source_Data!K9/Source_Data!K5-1</f>
        <v>0.1042836718</v>
      </c>
      <c r="E5" s="6">
        <f>Source_Data!D9/Source_Data!D5-1</f>
        <v>0.0114432608</v>
      </c>
      <c r="F5" s="6">
        <f>Source_Data!N9/Source_Data!N5-1</f>
        <v>0.07907147677</v>
      </c>
    </row>
    <row r="6">
      <c r="A6" s="3" t="s">
        <v>29</v>
      </c>
      <c r="B6" s="6">
        <f>Source_Data!G10/Source_Data!G6-1</f>
        <v>0.1284128237</v>
      </c>
      <c r="C6" s="6">
        <f>Source_Data!J10/Source_Data!J6-1</f>
        <v>0.1653459468</v>
      </c>
      <c r="D6" s="6">
        <f>Source_Data!K10/Source_Data!K6-1</f>
        <v>0.2357511167</v>
      </c>
      <c r="E6" s="6">
        <f>Source_Data!D10/Source_Data!D6-1</f>
        <v>-0.001892335031</v>
      </c>
      <c r="F6" s="6">
        <f>Source_Data!N10/Source_Data!N6-1</f>
        <v>0.1044261456</v>
      </c>
    </row>
    <row r="7">
      <c r="A7" s="3" t="s">
        <v>30</v>
      </c>
      <c r="B7" s="6">
        <f>Source_Data!G11/Source_Data!G7-1</f>
        <v>0.1438138976</v>
      </c>
      <c r="C7" s="6">
        <f>Source_Data!J11/Source_Data!J7-1</f>
        <v>0.1612698843</v>
      </c>
      <c r="D7" s="6">
        <f>Source_Data!K11/Source_Data!K7-1</f>
        <v>0.1153771195</v>
      </c>
      <c r="E7" s="6">
        <f>Source_Data!D11/Source_Data!D7-1</f>
        <v>0.01635138516</v>
      </c>
      <c r="F7" s="6">
        <f>Source_Data!N11/Source_Data!N7-1</f>
        <v>0.09769372544</v>
      </c>
    </row>
  </sheetData>
  <conditionalFormatting sqref="B2:F7">
    <cfRule type="cellIs" dxfId="0" priority="1" operator="greaterThan">
      <formula>0</formula>
    </cfRule>
  </conditionalFormatting>
  <conditionalFormatting sqref="B2:F7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19.13"/>
    <col customWidth="1" min="6" max="6" width="23.63"/>
    <col customWidth="1" min="9" max="9" width="19.13"/>
    <col customWidth="1" min="10" max="10" width="18.25"/>
    <col customWidth="1" min="11" max="11" width="23.38"/>
    <col customWidth="1" min="12" max="12" width="23.13"/>
    <col customWidth="1" min="13" max="13" width="26.63"/>
    <col customWidth="1" min="14" max="14" width="28.75"/>
    <col customWidth="1" min="15" max="15" width="19.5"/>
    <col customWidth="1" min="16" max="1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21</v>
      </c>
    </row>
    <row r="2">
      <c r="A2" s="4" t="s">
        <v>22</v>
      </c>
      <c r="B2" s="5">
        <f t="shared" ref="B2:B11" si="1">VALUE(RIGHT(A2,4))</f>
        <v>2024</v>
      </c>
      <c r="C2" s="5" t="str">
        <f t="shared" ref="C2:C11" si="2">LEFT(A2,2)</f>
        <v>Q1</v>
      </c>
      <c r="D2" s="4">
        <v>19.27085</v>
      </c>
      <c r="E2" s="4">
        <v>14.774683</v>
      </c>
      <c r="F2" s="4">
        <v>4.496167</v>
      </c>
      <c r="G2" s="4">
        <v>14167.615</v>
      </c>
      <c r="H2" s="4">
        <v>13569.688</v>
      </c>
      <c r="I2" s="4">
        <v>597.928</v>
      </c>
      <c r="J2" s="4">
        <v>2371.027</v>
      </c>
      <c r="K2" s="4">
        <v>714.282</v>
      </c>
      <c r="L2" s="4">
        <v>819.187</v>
      </c>
      <c r="M2" s="4">
        <v>-105.026</v>
      </c>
      <c r="N2" s="4">
        <v>3054.896</v>
      </c>
      <c r="O2" s="4">
        <v>304.603</v>
      </c>
      <c r="P2" s="7">
        <v>0.121771</v>
      </c>
    </row>
    <row r="3">
      <c r="A3" s="4" t="s">
        <v>23</v>
      </c>
      <c r="B3" s="5">
        <f t="shared" si="1"/>
        <v>2024</v>
      </c>
      <c r="C3" s="5" t="str">
        <f t="shared" si="2"/>
        <v>Q2</v>
      </c>
      <c r="D3" s="4">
        <v>19.622632</v>
      </c>
      <c r="E3" s="4">
        <v>14.876811</v>
      </c>
      <c r="F3" s="4">
        <v>4.745821</v>
      </c>
      <c r="G3" s="4">
        <v>15674.86</v>
      </c>
      <c r="H3" s="4">
        <v>15054.349</v>
      </c>
      <c r="I3" s="4">
        <v>632.016</v>
      </c>
      <c r="J3" s="4">
        <v>2595.347</v>
      </c>
      <c r="K3" s="4">
        <v>771.231</v>
      </c>
      <c r="L3" s="4">
        <v>908.125</v>
      </c>
      <c r="M3" s="4">
        <v>-135.947</v>
      </c>
      <c r="N3" s="4">
        <v>3081.992</v>
      </c>
      <c r="O3" s="4">
        <v>326.253</v>
      </c>
      <c r="P3" s="7">
        <v>0.125328</v>
      </c>
    </row>
    <row r="4">
      <c r="A4" s="4" t="s">
        <v>24</v>
      </c>
      <c r="B4" s="5">
        <f t="shared" si="1"/>
        <v>2024</v>
      </c>
      <c r="C4" s="5" t="str">
        <f t="shared" si="2"/>
        <v>Q3</v>
      </c>
      <c r="D4" s="4">
        <v>19.83424</v>
      </c>
      <c r="E4" s="4">
        <v>14.939273</v>
      </c>
      <c r="F4" s="4">
        <v>4.894967</v>
      </c>
      <c r="G4" s="4">
        <v>15315.102</v>
      </c>
      <c r="H4" s="4">
        <v>14705.824</v>
      </c>
      <c r="I4" s="4">
        <v>621.302</v>
      </c>
      <c r="J4" s="4">
        <v>2512.262</v>
      </c>
      <c r="K4" s="4">
        <v>742.526</v>
      </c>
      <c r="L4" s="4">
        <v>882.015</v>
      </c>
      <c r="M4" s="4">
        <v>-139.181</v>
      </c>
      <c r="N4" s="4">
        <v>3120.437</v>
      </c>
      <c r="O4" s="4">
        <v>325.533</v>
      </c>
      <c r="P4" s="7">
        <v>0.125104</v>
      </c>
    </row>
    <row r="5">
      <c r="A5" s="4" t="s">
        <v>25</v>
      </c>
      <c r="B5" s="5">
        <f t="shared" si="1"/>
        <v>2024</v>
      </c>
      <c r="C5" s="5" t="str">
        <f t="shared" si="2"/>
        <v>Q4</v>
      </c>
      <c r="D5" s="4">
        <v>20.180961</v>
      </c>
      <c r="E5" s="4">
        <v>15.058253</v>
      </c>
      <c r="F5" s="4">
        <v>5.122708</v>
      </c>
      <c r="G5" s="4">
        <v>18212.319</v>
      </c>
      <c r="H5" s="4">
        <v>17377.086</v>
      </c>
      <c r="I5" s="4">
        <v>844.362</v>
      </c>
      <c r="J5" s="4">
        <v>3007.318</v>
      </c>
      <c r="K5" s="4">
        <v>798.754</v>
      </c>
      <c r="L5" s="4">
        <v>973.978</v>
      </c>
      <c r="M5" s="4">
        <v>-174.953</v>
      </c>
      <c r="N5" s="4">
        <v>3140.083</v>
      </c>
      <c r="O5" s="4">
        <v>371.062</v>
      </c>
      <c r="P5" s="7">
        <v>0.120114</v>
      </c>
    </row>
    <row r="6">
      <c r="A6" s="4" t="s">
        <v>20</v>
      </c>
      <c r="B6" s="5">
        <f t="shared" si="1"/>
        <v>2025</v>
      </c>
      <c r="C6" s="5" t="str">
        <f t="shared" si="2"/>
        <v>Q1</v>
      </c>
      <c r="D6" s="4">
        <v>20.406006</v>
      </c>
      <c r="E6" s="4">
        <v>15.114284</v>
      </c>
      <c r="F6" s="4">
        <v>5.291722</v>
      </c>
      <c r="G6" s="4">
        <v>15325.323</v>
      </c>
      <c r="H6" s="4">
        <v>14778.729</v>
      </c>
      <c r="I6" s="4">
        <v>549.604</v>
      </c>
      <c r="J6" s="4">
        <v>2532.962</v>
      </c>
      <c r="K6" s="4">
        <v>754.024</v>
      </c>
      <c r="L6" s="4">
        <v>858.663</v>
      </c>
      <c r="M6" s="4">
        <v>-104.466</v>
      </c>
      <c r="N6" s="4">
        <v>3162.187</v>
      </c>
      <c r="O6" s="4">
        <v>343.984</v>
      </c>
      <c r="P6" s="7">
        <v>0.125815</v>
      </c>
    </row>
    <row r="7">
      <c r="A7" s="4" t="s">
        <v>26</v>
      </c>
      <c r="B7" s="5">
        <f t="shared" si="1"/>
        <v>2025</v>
      </c>
      <c r="C7" s="5" t="str">
        <f t="shared" si="2"/>
        <v>Q2</v>
      </c>
      <c r="D7" s="4">
        <v>20.522665</v>
      </c>
      <c r="E7" s="4">
        <v>15.172179</v>
      </c>
      <c r="F7" s="4">
        <v>5.350486</v>
      </c>
      <c r="G7" s="4">
        <v>17110.968</v>
      </c>
      <c r="H7" s="4">
        <v>16535.093</v>
      </c>
      <c r="I7" s="4">
        <v>579.913</v>
      </c>
      <c r="J7" s="4">
        <v>2875.695</v>
      </c>
      <c r="K7" s="4">
        <v>923.58</v>
      </c>
      <c r="L7" s="4">
        <v>1035.61</v>
      </c>
      <c r="M7" s="4">
        <v>-113.435</v>
      </c>
      <c r="N7" s="4">
        <v>3214.188</v>
      </c>
      <c r="O7" s="4">
        <v>365.191</v>
      </c>
      <c r="P7" s="7">
        <v>0.130115</v>
      </c>
    </row>
    <row r="8">
      <c r="A8" s="4" t="s">
        <v>27</v>
      </c>
      <c r="B8" s="5">
        <f t="shared" si="1"/>
        <v>2025</v>
      </c>
      <c r="C8" s="5" t="str">
        <f t="shared" si="2"/>
        <v>Q3</v>
      </c>
      <c r="D8" s="4">
        <v>20.510545</v>
      </c>
      <c r="E8" s="4">
        <v>15.23182</v>
      </c>
      <c r="F8" s="4">
        <v>5.278725</v>
      </c>
      <c r="G8" s="4">
        <v>16830.707</v>
      </c>
      <c r="H8" s="4">
        <v>16231.428</v>
      </c>
      <c r="I8" s="4">
        <v>599.279</v>
      </c>
      <c r="J8" s="4">
        <v>2836.868</v>
      </c>
      <c r="K8" s="4">
        <v>918.365</v>
      </c>
      <c r="L8" s="4">
        <v>1033.702</v>
      </c>
      <c r="M8" s="4">
        <v>-115.038</v>
      </c>
      <c r="N8" s="4">
        <v>3289.982</v>
      </c>
      <c r="O8" s="4">
        <v>364.224</v>
      </c>
      <c r="P8" s="7">
        <v>0.129789</v>
      </c>
    </row>
    <row r="9">
      <c r="A9" s="4" t="s">
        <v>28</v>
      </c>
      <c r="B9" s="5">
        <f t="shared" si="1"/>
        <v>2025</v>
      </c>
      <c r="C9" s="5" t="str">
        <f t="shared" si="2"/>
        <v>Q4</v>
      </c>
      <c r="D9" s="4">
        <v>20.411897</v>
      </c>
      <c r="E9" s="4">
        <v>15.348241</v>
      </c>
      <c r="F9" s="4">
        <v>5.063656</v>
      </c>
      <c r="G9" s="4">
        <v>19896.151</v>
      </c>
      <c r="H9" s="4">
        <v>18870.443</v>
      </c>
      <c r="I9" s="4">
        <v>1025.708</v>
      </c>
      <c r="J9" s="4">
        <v>3430.2</v>
      </c>
      <c r="K9" s="4">
        <v>882.051</v>
      </c>
      <c r="L9" s="4">
        <v>1054.215</v>
      </c>
      <c r="M9" s="4">
        <v>-172.083</v>
      </c>
      <c r="N9" s="4">
        <v>3388.374</v>
      </c>
      <c r="O9" s="4">
        <v>401.099</v>
      </c>
      <c r="P9" s="7">
        <v>0.122629</v>
      </c>
    </row>
    <row r="10">
      <c r="A10" s="4" t="s">
        <v>29</v>
      </c>
      <c r="B10" s="5">
        <f t="shared" si="1"/>
        <v>2026</v>
      </c>
      <c r="C10" s="5" t="str">
        <f t="shared" si="2"/>
        <v>Q1</v>
      </c>
      <c r="D10" s="4">
        <v>20.367391</v>
      </c>
      <c r="E10" s="4">
        <v>15.506165</v>
      </c>
      <c r="F10" s="4">
        <v>4.897264</v>
      </c>
      <c r="G10" s="4">
        <v>17293.291</v>
      </c>
      <c r="H10" s="4">
        <v>16489.262</v>
      </c>
      <c r="I10" s="4">
        <v>804.029</v>
      </c>
      <c r="J10" s="4">
        <v>2951.777</v>
      </c>
      <c r="K10" s="4">
        <v>931.786</v>
      </c>
      <c r="L10" s="4">
        <v>1017.778</v>
      </c>
      <c r="M10" s="4">
        <v>-85.943</v>
      </c>
      <c r="N10" s="4">
        <v>3492.402</v>
      </c>
      <c r="O10" s="4">
        <v>377.539</v>
      </c>
      <c r="P10" s="7">
        <v>0.126454</v>
      </c>
    </row>
    <row r="11">
      <c r="A11" s="4" t="s">
        <v>30</v>
      </c>
      <c r="B11" s="5">
        <f t="shared" si="1"/>
        <v>2026</v>
      </c>
      <c r="C11" s="5" t="str">
        <f t="shared" si="2"/>
        <v>Q2</v>
      </c>
      <c r="D11" s="4">
        <v>20.858239</v>
      </c>
      <c r="E11" s="4">
        <v>15.640527</v>
      </c>
      <c r="F11" s="4">
        <v>5.256</v>
      </c>
      <c r="G11" s="4">
        <v>19571.763</v>
      </c>
      <c r="H11" s="4">
        <v>18513.894</v>
      </c>
      <c r="I11" s="4">
        <v>1057.869</v>
      </c>
      <c r="J11" s="4">
        <v>3339.458</v>
      </c>
      <c r="K11" s="4">
        <v>1030.14</v>
      </c>
      <c r="L11" s="4">
        <v>1152.968</v>
      </c>
      <c r="M11" s="4">
        <v>-122.789</v>
      </c>
      <c r="N11" s="4">
        <v>3528.194</v>
      </c>
      <c r="O11" s="4">
        <v>404.682</v>
      </c>
      <c r="P11" s="7">
        <v>0.125928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2.63"/>
    <col customWidth="1" min="4" max="4" width="27.63"/>
  </cols>
  <sheetData>
    <row r="1">
      <c r="A1" s="8" t="s">
        <v>31</v>
      </c>
      <c r="B1" s="8" t="s">
        <v>32</v>
      </c>
      <c r="C1" s="8" t="s">
        <v>33</v>
      </c>
      <c r="D1" s="8" t="s">
        <v>34</v>
      </c>
    </row>
    <row r="2">
      <c r="A2" s="9" t="s">
        <v>35</v>
      </c>
      <c r="B2" s="10" t="s">
        <v>36</v>
      </c>
      <c r="C2" s="9" t="s">
        <v>37</v>
      </c>
      <c r="D2" s="10" t="s">
        <v>38</v>
      </c>
    </row>
    <row r="3">
      <c r="A3" s="9" t="s">
        <v>39</v>
      </c>
      <c r="B3" s="10" t="s">
        <v>40</v>
      </c>
      <c r="C3" s="9" t="s">
        <v>37</v>
      </c>
      <c r="D3" s="10" t="s">
        <v>41</v>
      </c>
    </row>
    <row r="4">
      <c r="A4" s="9" t="s">
        <v>42</v>
      </c>
      <c r="B4" s="10" t="s">
        <v>43</v>
      </c>
      <c r="C4" s="9" t="s">
        <v>37</v>
      </c>
      <c r="D4" s="10" t="s">
        <v>44</v>
      </c>
    </row>
    <row r="5">
      <c r="A5" s="9" t="s">
        <v>45</v>
      </c>
      <c r="B5" s="10" t="s">
        <v>46</v>
      </c>
      <c r="C5" s="9" t="s">
        <v>47</v>
      </c>
      <c r="D5" s="10" t="s">
        <v>48</v>
      </c>
    </row>
    <row r="6">
      <c r="A6" s="10" t="s">
        <v>49</v>
      </c>
      <c r="B6" s="10" t="s">
        <v>50</v>
      </c>
      <c r="C6" s="9" t="s">
        <v>51</v>
      </c>
      <c r="D6" s="10" t="s">
        <v>52</v>
      </c>
    </row>
    <row r="8">
      <c r="A8" s="11" t="s">
        <v>53</v>
      </c>
      <c r="B8" s="10" t="s">
        <v>54</v>
      </c>
    </row>
    <row r="9">
      <c r="A9" s="12" t="s">
        <v>55</v>
      </c>
      <c r="B9" s="10" t="s">
        <v>56</v>
      </c>
    </row>
  </sheetData>
  <mergeCells count="1">
    <mergeCell ref="B8:D8"/>
  </mergeCells>
  <drawing r:id="rId1"/>
</worksheet>
</file>